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GitHub\solar-flare-project\reports\"/>
    </mc:Choice>
  </mc:AlternateContent>
  <xr:revisionPtr revIDLastSave="0" documentId="13_ncr:1_{5B37F6B5-07BE-47AD-AD14-D5D677FF3918}" xr6:coauthVersionLast="47" xr6:coauthVersionMax="47" xr10:uidLastSave="{00000000-0000-0000-0000-000000000000}"/>
  <bookViews>
    <workbookView xWindow="27960" yWindow="2460" windowWidth="23040" windowHeight="163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0" i="1" l="1"/>
  <c r="C71" i="1"/>
  <c r="C73" i="1"/>
  <c r="C74" i="1"/>
  <c r="C75" i="1"/>
  <c r="C76" i="1"/>
  <c r="C77" i="1"/>
  <c r="C79" i="1"/>
  <c r="C80" i="1"/>
  <c r="C81" i="1"/>
  <c r="C83" i="1"/>
  <c r="C85" i="1"/>
  <c r="C87" i="1"/>
  <c r="C92" i="1"/>
  <c r="C91" i="1"/>
  <c r="D90" i="1"/>
  <c r="D89" i="1"/>
  <c r="D88" i="1"/>
  <c r="D85" i="1"/>
  <c r="D81" i="1"/>
  <c r="D79" i="1"/>
  <c r="D78" i="1"/>
  <c r="D76" i="1"/>
  <c r="D75" i="1"/>
  <c r="D74" i="1"/>
  <c r="D73" i="1"/>
  <c r="D72" i="1"/>
  <c r="D70" i="1"/>
  <c r="D69" i="1"/>
  <c r="E92" i="1"/>
  <c r="E90" i="1"/>
  <c r="E89" i="1"/>
  <c r="E88" i="1"/>
  <c r="E80" i="1"/>
  <c r="E78" i="1"/>
  <c r="E77" i="1"/>
  <c r="E74" i="1"/>
  <c r="E72" i="1"/>
  <c r="E71" i="1"/>
  <c r="E69" i="1"/>
  <c r="F90" i="1"/>
  <c r="F89" i="1"/>
  <c r="F88" i="1"/>
  <c r="F85" i="1"/>
  <c r="F81" i="1"/>
  <c r="F79" i="1"/>
  <c r="F78" i="1"/>
  <c r="F76" i="1"/>
  <c r="F75" i="1"/>
  <c r="F74" i="1"/>
  <c r="F73" i="1"/>
  <c r="F72" i="1"/>
  <c r="F70" i="1"/>
  <c r="F69" i="1"/>
  <c r="G87" i="1"/>
  <c r="G86" i="1"/>
  <c r="G84" i="1"/>
  <c r="G83" i="1"/>
  <c r="G82" i="1"/>
  <c r="G81" i="1"/>
  <c r="G80" i="1"/>
  <c r="G78" i="1"/>
  <c r="G74" i="1"/>
  <c r="G73" i="1"/>
  <c r="G72" i="1"/>
  <c r="G71" i="1"/>
  <c r="G70" i="1"/>
  <c r="G68" i="1"/>
  <c r="H92" i="1"/>
  <c r="H91" i="1"/>
  <c r="H89" i="1"/>
  <c r="H88" i="1"/>
  <c r="H86" i="1"/>
  <c r="H84" i="1"/>
  <c r="H83" i="1"/>
  <c r="H81" i="1"/>
  <c r="H78" i="1"/>
  <c r="H77" i="1"/>
  <c r="H76" i="1"/>
  <c r="H75" i="1"/>
  <c r="H71" i="1"/>
  <c r="H70" i="1"/>
  <c r="H72" i="1"/>
  <c r="H73" i="1"/>
  <c r="H74" i="1"/>
  <c r="H79" i="1"/>
  <c r="H80" i="1"/>
  <c r="H82" i="1"/>
  <c r="H85" i="1"/>
  <c r="H87" i="1"/>
  <c r="H90" i="1"/>
  <c r="H69" i="1"/>
  <c r="H68" i="1"/>
  <c r="C68" i="1"/>
  <c r="G92" i="1"/>
  <c r="F92" i="1"/>
  <c r="D92" i="1"/>
  <c r="G91" i="1"/>
  <c r="F91" i="1"/>
  <c r="E91" i="1"/>
  <c r="D91" i="1"/>
  <c r="G90" i="1"/>
  <c r="C90" i="1"/>
  <c r="G89" i="1"/>
  <c r="C89" i="1"/>
  <c r="G88" i="1"/>
  <c r="C88" i="1"/>
  <c r="F87" i="1"/>
  <c r="E87" i="1"/>
  <c r="D87" i="1"/>
  <c r="F86" i="1"/>
  <c r="E86" i="1"/>
  <c r="D86" i="1"/>
  <c r="C86" i="1"/>
  <c r="G85" i="1"/>
  <c r="E85" i="1"/>
  <c r="F84" i="1"/>
  <c r="E84" i="1"/>
  <c r="D84" i="1"/>
  <c r="C84" i="1"/>
  <c r="F83" i="1"/>
  <c r="E83" i="1"/>
  <c r="D83" i="1"/>
  <c r="F82" i="1"/>
  <c r="E82" i="1"/>
  <c r="D82" i="1"/>
  <c r="C82" i="1"/>
  <c r="E81" i="1"/>
  <c r="F80" i="1"/>
  <c r="D80" i="1"/>
  <c r="G79" i="1"/>
  <c r="E79" i="1"/>
  <c r="D68" i="1"/>
  <c r="E68" i="1"/>
  <c r="F68" i="1"/>
  <c r="C69" i="1"/>
  <c r="G69" i="1"/>
  <c r="E70" i="1"/>
  <c r="D71" i="1"/>
  <c r="F71" i="1"/>
  <c r="C72" i="1"/>
  <c r="E73" i="1"/>
  <c r="E75" i="1"/>
  <c r="G75" i="1"/>
  <c r="E76" i="1"/>
  <c r="G76" i="1"/>
  <c r="D77" i="1"/>
  <c r="F77" i="1"/>
  <c r="G77" i="1"/>
  <c r="C78" i="1"/>
</calcChain>
</file>

<file path=xl/sharedStrings.xml><?xml version="1.0" encoding="utf-8"?>
<sst xmlns="http://schemas.openxmlformats.org/spreadsheetml/2006/main" count="13" uniqueCount="13">
  <si>
    <t>train_part</t>
  </si>
  <si>
    <t>test_part</t>
  </si>
  <si>
    <t>accuracy</t>
  </si>
  <si>
    <t>precision</t>
  </si>
  <si>
    <t>recall</t>
  </si>
  <si>
    <t>f1</t>
  </si>
  <si>
    <t>tss</t>
  </si>
  <si>
    <t>loss</t>
  </si>
  <si>
    <t>Averages</t>
  </si>
  <si>
    <t>Worst testing partition: 4</t>
  </si>
  <si>
    <t>Best testing partition: 3</t>
  </si>
  <si>
    <t>&gt; 0.8</t>
  </si>
  <si>
    <t>&lt;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</si>
</sst>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"/>
  <sheetViews>
    <sheetView tabSelected="1" topLeftCell="A61" workbookViewId="0">
      <selection activeCell="L74" sqref="L74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1</v>
      </c>
      <c r="B2">
        <v>1</v>
      </c>
      <c r="C2">
        <v>1.2958000000000001</v>
      </c>
      <c r="D2">
        <v>0.66739999999999999</v>
      </c>
      <c r="E2">
        <v>0.80569999999999997</v>
      </c>
      <c r="F2">
        <v>0.66739999999999999</v>
      </c>
      <c r="G2">
        <v>0.63549999999999995</v>
      </c>
      <c r="H2">
        <v>0.37540000000000001</v>
      </c>
    </row>
    <row r="3" spans="1:8" x14ac:dyDescent="0.25">
      <c r="A3">
        <v>1</v>
      </c>
      <c r="B3">
        <v>2</v>
      </c>
      <c r="C3">
        <v>0.32679999999999998</v>
      </c>
      <c r="D3">
        <v>0.8921</v>
      </c>
      <c r="E3">
        <v>0.91059999999999997</v>
      </c>
      <c r="F3">
        <v>0.8921</v>
      </c>
      <c r="G3">
        <v>0.89100000000000001</v>
      </c>
      <c r="H3">
        <v>0.78620000000000001</v>
      </c>
    </row>
    <row r="4" spans="1:8" x14ac:dyDescent="0.25">
      <c r="A4">
        <v>1</v>
      </c>
      <c r="B4">
        <v>3</v>
      </c>
      <c r="C4">
        <v>0.69530000000000003</v>
      </c>
      <c r="D4">
        <v>0.82230000000000003</v>
      </c>
      <c r="E4">
        <v>0.86890000000000001</v>
      </c>
      <c r="F4">
        <v>0.82230000000000003</v>
      </c>
      <c r="G4">
        <v>0.81659999999999999</v>
      </c>
      <c r="H4">
        <v>0.78620000000000001</v>
      </c>
    </row>
    <row r="5" spans="1:8" x14ac:dyDescent="0.25">
      <c r="A5">
        <v>1</v>
      </c>
      <c r="B5">
        <v>4</v>
      </c>
      <c r="C5">
        <v>0.6694</v>
      </c>
      <c r="D5">
        <v>0.73440000000000005</v>
      </c>
      <c r="E5">
        <v>0.82240000000000002</v>
      </c>
      <c r="F5">
        <v>0.73440000000000005</v>
      </c>
      <c r="G5">
        <v>0.71140000000000003</v>
      </c>
      <c r="H5">
        <v>0.44950000000000001</v>
      </c>
    </row>
    <row r="6" spans="1:8" x14ac:dyDescent="0.25">
      <c r="A6">
        <v>1</v>
      </c>
      <c r="B6">
        <v>5</v>
      </c>
      <c r="C6">
        <v>0.37790000000000001</v>
      </c>
      <c r="D6">
        <v>0.82579999999999998</v>
      </c>
      <c r="E6">
        <v>0.86329999999999996</v>
      </c>
      <c r="F6">
        <v>0.82579999999999998</v>
      </c>
      <c r="G6">
        <v>0.82099999999999995</v>
      </c>
      <c r="H6">
        <v>0.65</v>
      </c>
    </row>
    <row r="7" spans="1:8" x14ac:dyDescent="0.25">
      <c r="A7">
        <v>2</v>
      </c>
      <c r="B7">
        <v>1</v>
      </c>
      <c r="C7">
        <v>0.55740000000000001</v>
      </c>
      <c r="D7">
        <v>0.78320000000000001</v>
      </c>
      <c r="E7">
        <v>0.85189999999999999</v>
      </c>
      <c r="F7">
        <v>0.78320000000000001</v>
      </c>
      <c r="G7">
        <v>0.77590000000000003</v>
      </c>
      <c r="H7">
        <v>0.59279999999999999</v>
      </c>
    </row>
    <row r="8" spans="1:8" x14ac:dyDescent="0.25">
      <c r="A8">
        <v>2</v>
      </c>
      <c r="B8">
        <v>2</v>
      </c>
      <c r="C8">
        <v>0.126</v>
      </c>
      <c r="D8">
        <v>0.94869999999999999</v>
      </c>
      <c r="E8">
        <v>0.94879999999999998</v>
      </c>
      <c r="F8">
        <v>0.94869999999999999</v>
      </c>
      <c r="G8">
        <v>0.94869999999999999</v>
      </c>
      <c r="H8">
        <v>0.89759999999999995</v>
      </c>
    </row>
    <row r="9" spans="1:8" x14ac:dyDescent="0.25">
      <c r="A9">
        <v>2</v>
      </c>
      <c r="B9">
        <v>3</v>
      </c>
      <c r="C9">
        <v>0.22409999999999999</v>
      </c>
      <c r="D9">
        <v>0.92510000000000003</v>
      </c>
      <c r="E9">
        <v>0.93400000000000005</v>
      </c>
      <c r="F9">
        <v>0.92510000000000003</v>
      </c>
      <c r="G9">
        <v>0.92469999999999997</v>
      </c>
      <c r="H9">
        <v>0.85040000000000004</v>
      </c>
    </row>
    <row r="10" spans="1:8" x14ac:dyDescent="0.25">
      <c r="A10">
        <v>2</v>
      </c>
      <c r="B10">
        <v>4</v>
      </c>
      <c r="C10">
        <v>0.16830000000000001</v>
      </c>
      <c r="D10">
        <v>0.94530000000000003</v>
      </c>
      <c r="E10">
        <v>0.94540000000000002</v>
      </c>
      <c r="F10">
        <v>0.94530000000000003</v>
      </c>
      <c r="G10">
        <v>0.94530000000000003</v>
      </c>
      <c r="H10">
        <v>0.89</v>
      </c>
    </row>
    <row r="11" spans="1:8" x14ac:dyDescent="0.25">
      <c r="A11">
        <v>2</v>
      </c>
      <c r="B11">
        <v>5</v>
      </c>
      <c r="C11">
        <v>0.1381</v>
      </c>
      <c r="D11">
        <v>0.94810000000000005</v>
      </c>
      <c r="E11">
        <v>0.9516</v>
      </c>
      <c r="F11">
        <v>0.94810000000000005</v>
      </c>
      <c r="G11">
        <v>0.94810000000000005</v>
      </c>
      <c r="H11">
        <v>0.89670000000000005</v>
      </c>
    </row>
    <row r="12" spans="1:8" x14ac:dyDescent="0.25">
      <c r="A12">
        <v>3</v>
      </c>
      <c r="B12">
        <v>1</v>
      </c>
      <c r="C12">
        <v>0.23960000000000001</v>
      </c>
      <c r="D12">
        <v>0.88319999999999999</v>
      </c>
      <c r="E12">
        <v>0.88319999999999999</v>
      </c>
      <c r="F12">
        <v>0.88319999999999999</v>
      </c>
      <c r="G12">
        <v>0.88319999999999999</v>
      </c>
      <c r="H12">
        <v>0.76480000000000004</v>
      </c>
    </row>
    <row r="13" spans="1:8" x14ac:dyDescent="0.25">
      <c r="A13">
        <v>3</v>
      </c>
      <c r="B13">
        <v>2</v>
      </c>
      <c r="C13">
        <v>0.2223</v>
      </c>
      <c r="D13">
        <v>0.89419999999999999</v>
      </c>
      <c r="E13">
        <v>0.90080000000000005</v>
      </c>
      <c r="F13">
        <v>0.89419999999999999</v>
      </c>
      <c r="G13">
        <v>0.89370000000000005</v>
      </c>
      <c r="H13">
        <v>0.78710000000000002</v>
      </c>
    </row>
    <row r="14" spans="1:8" x14ac:dyDescent="0.25">
      <c r="A14">
        <v>3</v>
      </c>
      <c r="B14">
        <v>3</v>
      </c>
      <c r="C14">
        <v>0.1366</v>
      </c>
      <c r="D14">
        <v>0.94669999999999999</v>
      </c>
      <c r="E14">
        <v>0.94789999999999996</v>
      </c>
      <c r="F14">
        <v>0.94669999999999999</v>
      </c>
      <c r="G14">
        <v>0.94669999999999999</v>
      </c>
      <c r="H14">
        <v>0.89349999999999996</v>
      </c>
    </row>
    <row r="15" spans="1:8" x14ac:dyDescent="0.25">
      <c r="A15">
        <v>3</v>
      </c>
      <c r="B15">
        <v>4</v>
      </c>
      <c r="C15">
        <v>0.87419999999999998</v>
      </c>
      <c r="D15">
        <v>0.64510000000000001</v>
      </c>
      <c r="E15">
        <v>0.78610000000000002</v>
      </c>
      <c r="F15">
        <v>0.64510000000000001</v>
      </c>
      <c r="G15">
        <v>0.58789999999999998</v>
      </c>
      <c r="H15">
        <v>0.26450000000000001</v>
      </c>
    </row>
    <row r="16" spans="1:8" x14ac:dyDescent="0.25">
      <c r="A16">
        <v>3</v>
      </c>
      <c r="B16">
        <v>5</v>
      </c>
      <c r="C16">
        <v>0.2135</v>
      </c>
      <c r="D16">
        <v>0.91639999999999999</v>
      </c>
      <c r="E16">
        <v>0.92530000000000001</v>
      </c>
      <c r="F16">
        <v>0.91639999999999999</v>
      </c>
      <c r="G16">
        <v>0.91590000000000005</v>
      </c>
      <c r="H16">
        <v>0.83199999999999996</v>
      </c>
    </row>
    <row r="17" spans="1:8" x14ac:dyDescent="0.25">
      <c r="A17">
        <v>4</v>
      </c>
      <c r="B17">
        <v>1</v>
      </c>
      <c r="C17">
        <v>0.71870000000000001</v>
      </c>
      <c r="D17">
        <v>0.72709999999999997</v>
      </c>
      <c r="E17">
        <v>0.82750000000000001</v>
      </c>
      <c r="F17">
        <v>0.72709999999999997</v>
      </c>
      <c r="G17">
        <v>0.71089999999999998</v>
      </c>
      <c r="H17">
        <v>0.4874</v>
      </c>
    </row>
    <row r="18" spans="1:8" x14ac:dyDescent="0.25">
      <c r="A18">
        <v>4</v>
      </c>
      <c r="B18">
        <v>2</v>
      </c>
      <c r="C18">
        <v>0.3125</v>
      </c>
      <c r="D18">
        <v>0.85750000000000004</v>
      </c>
      <c r="E18">
        <v>0.88119999999999998</v>
      </c>
      <c r="F18">
        <v>0.85750000000000004</v>
      </c>
      <c r="G18">
        <v>0.85509999999999997</v>
      </c>
      <c r="H18">
        <v>0.71260000000000001</v>
      </c>
    </row>
    <row r="19" spans="1:8" x14ac:dyDescent="0.25">
      <c r="A19">
        <v>4</v>
      </c>
      <c r="B19">
        <v>3</v>
      </c>
      <c r="C19">
        <v>0.18559999999999999</v>
      </c>
      <c r="D19">
        <v>0.9204</v>
      </c>
      <c r="E19">
        <v>0.92059999999999997</v>
      </c>
      <c r="F19">
        <v>0.9204</v>
      </c>
      <c r="G19">
        <v>0.9204</v>
      </c>
      <c r="H19">
        <v>0.84079999999999999</v>
      </c>
    </row>
    <row r="20" spans="1:8" x14ac:dyDescent="0.25">
      <c r="A20">
        <v>4</v>
      </c>
      <c r="B20">
        <v>4</v>
      </c>
      <c r="C20">
        <v>0.69840000000000002</v>
      </c>
      <c r="D20">
        <v>0.7218</v>
      </c>
      <c r="E20">
        <v>0.81820000000000004</v>
      </c>
      <c r="F20">
        <v>0.7218</v>
      </c>
      <c r="G20">
        <v>0.69510000000000005</v>
      </c>
      <c r="H20">
        <v>0.4234</v>
      </c>
    </row>
    <row r="21" spans="1:8" x14ac:dyDescent="0.25">
      <c r="A21">
        <v>4</v>
      </c>
      <c r="B21">
        <v>5</v>
      </c>
      <c r="C21">
        <v>0.92879999999999996</v>
      </c>
      <c r="D21">
        <v>0.73829999999999996</v>
      </c>
      <c r="E21">
        <v>0.82599999999999996</v>
      </c>
      <c r="F21">
        <v>0.73829999999999996</v>
      </c>
      <c r="G21">
        <v>0.71889999999999998</v>
      </c>
      <c r="H21">
        <v>0.47399999999999998</v>
      </c>
    </row>
    <row r="22" spans="1:8" x14ac:dyDescent="0.25">
      <c r="A22">
        <v>5</v>
      </c>
      <c r="B22">
        <v>1</v>
      </c>
      <c r="C22">
        <v>0.28699999999999998</v>
      </c>
      <c r="D22">
        <v>0.8881</v>
      </c>
      <c r="E22">
        <v>0.90890000000000004</v>
      </c>
      <c r="F22">
        <v>0.8881</v>
      </c>
      <c r="G22">
        <v>0.88759999999999994</v>
      </c>
      <c r="H22">
        <v>0.78959999999999997</v>
      </c>
    </row>
    <row r="23" spans="1:8" x14ac:dyDescent="0.25">
      <c r="A23">
        <v>5</v>
      </c>
      <c r="B23">
        <v>2</v>
      </c>
      <c r="C23">
        <v>0.25209999999999999</v>
      </c>
      <c r="D23">
        <v>0.88460000000000005</v>
      </c>
      <c r="E23">
        <v>0.90290000000000004</v>
      </c>
      <c r="F23">
        <v>0.88460000000000005</v>
      </c>
      <c r="G23">
        <v>0.8831</v>
      </c>
      <c r="H23">
        <v>0.7671</v>
      </c>
    </row>
    <row r="24" spans="1:8" x14ac:dyDescent="0.25">
      <c r="A24">
        <v>5</v>
      </c>
      <c r="B24">
        <v>3</v>
      </c>
      <c r="C24">
        <v>0.16070000000000001</v>
      </c>
      <c r="D24">
        <v>0.94240000000000002</v>
      </c>
      <c r="E24">
        <v>0.94630000000000003</v>
      </c>
      <c r="F24">
        <v>0.94240000000000002</v>
      </c>
      <c r="G24">
        <v>0.94230000000000003</v>
      </c>
      <c r="H24">
        <v>0.88490000000000002</v>
      </c>
    </row>
    <row r="25" spans="1:8" x14ac:dyDescent="0.25">
      <c r="A25">
        <v>5</v>
      </c>
      <c r="B25">
        <v>4</v>
      </c>
      <c r="C25">
        <v>1.7557</v>
      </c>
      <c r="D25">
        <v>0.51759999999999995</v>
      </c>
      <c r="E25">
        <v>0.26790000000000003</v>
      </c>
      <c r="F25">
        <v>0.51759999999999995</v>
      </c>
      <c r="G25">
        <v>0.35310000000000002</v>
      </c>
      <c r="H25">
        <v>0</v>
      </c>
    </row>
    <row r="26" spans="1:8" x14ac:dyDescent="0.25">
      <c r="A26">
        <v>5</v>
      </c>
      <c r="B26">
        <v>5</v>
      </c>
      <c r="C26">
        <v>1.1572</v>
      </c>
      <c r="D26">
        <v>0.69650000000000001</v>
      </c>
      <c r="E26">
        <v>0.80959999999999999</v>
      </c>
      <c r="F26">
        <v>0.69650000000000001</v>
      </c>
      <c r="G26">
        <v>0.6653</v>
      </c>
      <c r="H26">
        <v>0.38990000000000002</v>
      </c>
    </row>
    <row r="29" spans="1:8" x14ac:dyDescent="0.25">
      <c r="A29">
        <v>1</v>
      </c>
      <c r="B29">
        <v>1</v>
      </c>
      <c r="C29">
        <v>0.34710000000000002</v>
      </c>
      <c r="D29">
        <v>0.87909999999999999</v>
      </c>
      <c r="E29">
        <v>0.90310000000000001</v>
      </c>
      <c r="F29">
        <v>0.87909999999999999</v>
      </c>
      <c r="G29">
        <v>0.87829999999999997</v>
      </c>
      <c r="H29">
        <v>0.77259999999999995</v>
      </c>
    </row>
    <row r="30" spans="1:8" x14ac:dyDescent="0.25">
      <c r="A30">
        <v>1</v>
      </c>
      <c r="B30">
        <v>2</v>
      </c>
      <c r="C30">
        <v>0.17180000000000001</v>
      </c>
      <c r="D30">
        <v>0.92469999999999997</v>
      </c>
      <c r="E30">
        <v>0.92490000000000006</v>
      </c>
      <c r="F30">
        <v>0.92469999999999997</v>
      </c>
      <c r="G30">
        <v>0.92469999999999997</v>
      </c>
      <c r="H30">
        <v>0.84909999999999997</v>
      </c>
    </row>
    <row r="31" spans="1:8" x14ac:dyDescent="0.25">
      <c r="A31">
        <v>1</v>
      </c>
      <c r="B31">
        <v>3</v>
      </c>
      <c r="C31">
        <v>0.33460000000000001</v>
      </c>
      <c r="D31">
        <v>0.89949999999999997</v>
      </c>
      <c r="E31">
        <v>0.91610000000000003</v>
      </c>
      <c r="F31">
        <v>0.89949999999999997</v>
      </c>
      <c r="G31">
        <v>0.89849999999999997</v>
      </c>
      <c r="H31">
        <v>0.7994</v>
      </c>
    </row>
    <row r="32" spans="1:8" x14ac:dyDescent="0.25">
      <c r="A32">
        <v>1</v>
      </c>
      <c r="B32">
        <v>4</v>
      </c>
      <c r="C32">
        <v>0.95599999999999996</v>
      </c>
      <c r="D32">
        <v>0.68389999999999995</v>
      </c>
      <c r="E32">
        <v>0.80200000000000005</v>
      </c>
      <c r="F32">
        <v>0.68389999999999995</v>
      </c>
      <c r="G32">
        <v>0.64410000000000001</v>
      </c>
      <c r="H32">
        <v>0.34470000000000001</v>
      </c>
    </row>
    <row r="33" spans="1:8" x14ac:dyDescent="0.25">
      <c r="A33">
        <v>1</v>
      </c>
      <c r="B33">
        <v>5</v>
      </c>
      <c r="C33">
        <v>0.84530000000000005</v>
      </c>
      <c r="D33">
        <v>0.80759999999999998</v>
      </c>
      <c r="E33">
        <v>0.85760000000000003</v>
      </c>
      <c r="F33">
        <v>0.80759999999999998</v>
      </c>
      <c r="G33">
        <v>0.80049999999999999</v>
      </c>
      <c r="H33">
        <v>0.61339999999999995</v>
      </c>
    </row>
    <row r="34" spans="1:8" x14ac:dyDescent="0.25">
      <c r="A34">
        <v>2</v>
      </c>
      <c r="B34">
        <v>1</v>
      </c>
      <c r="C34">
        <v>0.3009</v>
      </c>
      <c r="D34">
        <v>0.85740000000000005</v>
      </c>
      <c r="E34">
        <v>0.86870000000000003</v>
      </c>
      <c r="F34">
        <v>0.85740000000000005</v>
      </c>
      <c r="G34">
        <v>0.85519999999999996</v>
      </c>
      <c r="H34">
        <v>0.70140000000000002</v>
      </c>
    </row>
    <row r="35" spans="1:8" x14ac:dyDescent="0.25">
      <c r="A35">
        <v>2</v>
      </c>
      <c r="B35">
        <v>2</v>
      </c>
      <c r="C35">
        <v>0.9375</v>
      </c>
      <c r="D35">
        <v>0.60160000000000002</v>
      </c>
      <c r="E35">
        <v>0.77329999999999999</v>
      </c>
      <c r="F35">
        <v>0.60160000000000002</v>
      </c>
      <c r="G35">
        <v>0.52459999999999996</v>
      </c>
      <c r="H35">
        <v>0.19539999999999999</v>
      </c>
    </row>
    <row r="36" spans="1:8" x14ac:dyDescent="0.25">
      <c r="A36">
        <v>2</v>
      </c>
      <c r="B36">
        <v>3</v>
      </c>
      <c r="C36">
        <v>0.28189999999999998</v>
      </c>
      <c r="D36">
        <v>0.87370000000000003</v>
      </c>
      <c r="E36">
        <v>0.89159999999999995</v>
      </c>
      <c r="F36">
        <v>0.87370000000000003</v>
      </c>
      <c r="G36">
        <v>0.87219999999999998</v>
      </c>
      <c r="H36">
        <v>0.747</v>
      </c>
    </row>
    <row r="37" spans="1:8" x14ac:dyDescent="0.25">
      <c r="A37">
        <v>2</v>
      </c>
      <c r="B37">
        <v>4</v>
      </c>
      <c r="C37">
        <v>1.1327</v>
      </c>
      <c r="D37">
        <v>0.58499999999999996</v>
      </c>
      <c r="E37">
        <v>0.76970000000000005</v>
      </c>
      <c r="F37">
        <v>0.58499999999999996</v>
      </c>
      <c r="G37">
        <v>0.48770000000000002</v>
      </c>
      <c r="H37">
        <v>0.13969999999999999</v>
      </c>
    </row>
    <row r="38" spans="1:8" x14ac:dyDescent="0.25">
      <c r="A38">
        <v>2</v>
      </c>
      <c r="B38">
        <v>5</v>
      </c>
      <c r="C38">
        <v>0.18509999999999999</v>
      </c>
      <c r="D38">
        <v>0.93569999999999998</v>
      </c>
      <c r="E38">
        <v>0.93940000000000001</v>
      </c>
      <c r="F38">
        <v>0.93569999999999998</v>
      </c>
      <c r="G38">
        <v>0.9355</v>
      </c>
      <c r="H38">
        <v>0.87090000000000001</v>
      </c>
    </row>
    <row r="41" spans="1:8" x14ac:dyDescent="0.25">
      <c r="A41">
        <v>1</v>
      </c>
      <c r="B41">
        <v>1</v>
      </c>
      <c r="C41">
        <v>0.22009999999999999</v>
      </c>
      <c r="D41">
        <v>0.8901</v>
      </c>
      <c r="E41">
        <v>0.8901</v>
      </c>
      <c r="F41">
        <v>0.8901</v>
      </c>
      <c r="G41">
        <v>0.88990000000000002</v>
      </c>
      <c r="H41">
        <v>0.77749999999999997</v>
      </c>
    </row>
    <row r="42" spans="1:8" x14ac:dyDescent="0.25">
      <c r="A42">
        <v>1</v>
      </c>
      <c r="B42">
        <v>2</v>
      </c>
      <c r="C42">
        <v>1.4292</v>
      </c>
      <c r="D42">
        <v>0.59840000000000004</v>
      </c>
      <c r="E42">
        <v>0.7732</v>
      </c>
      <c r="F42">
        <v>0.59840000000000004</v>
      </c>
      <c r="G42">
        <v>0.51919999999999999</v>
      </c>
      <c r="H42">
        <v>0.18909999999999999</v>
      </c>
    </row>
    <row r="43" spans="1:8" x14ac:dyDescent="0.25">
      <c r="A43">
        <v>1</v>
      </c>
      <c r="B43">
        <v>3</v>
      </c>
      <c r="C43">
        <v>0.55630000000000002</v>
      </c>
      <c r="D43">
        <v>0.83679999999999999</v>
      </c>
      <c r="E43">
        <v>0.87119999999999997</v>
      </c>
      <c r="F43">
        <v>0.83679999999999999</v>
      </c>
      <c r="G43">
        <v>0.83289999999999997</v>
      </c>
      <c r="H43">
        <v>0.67320000000000002</v>
      </c>
    </row>
    <row r="44" spans="1:8" x14ac:dyDescent="0.25">
      <c r="A44">
        <v>1</v>
      </c>
      <c r="B44">
        <v>4</v>
      </c>
      <c r="C44">
        <v>5.5918999999999999</v>
      </c>
      <c r="D44">
        <v>0.51759999999999995</v>
      </c>
      <c r="E44">
        <v>0.26790000000000003</v>
      </c>
      <c r="F44">
        <v>0.51759999999999995</v>
      </c>
      <c r="G44">
        <v>0.35310000000000002</v>
      </c>
      <c r="H44">
        <v>0</v>
      </c>
    </row>
    <row r="45" spans="1:8" x14ac:dyDescent="0.25">
      <c r="A45">
        <v>1</v>
      </c>
      <c r="B45">
        <v>5</v>
      </c>
      <c r="C45">
        <v>0.35299999999999998</v>
      </c>
      <c r="D45">
        <v>0.86329999999999996</v>
      </c>
      <c r="E45">
        <v>0.89070000000000005</v>
      </c>
      <c r="F45">
        <v>0.86329999999999996</v>
      </c>
      <c r="G45">
        <v>0.86080000000000001</v>
      </c>
      <c r="H45">
        <v>0.72529999999999994</v>
      </c>
    </row>
    <row r="46" spans="1:8" x14ac:dyDescent="0.25">
      <c r="A46">
        <v>2</v>
      </c>
      <c r="B46">
        <v>1</v>
      </c>
      <c r="C46">
        <v>0.43519999999999998</v>
      </c>
      <c r="D46">
        <v>0.84770000000000001</v>
      </c>
      <c r="E46">
        <v>0.88219999999999998</v>
      </c>
      <c r="F46">
        <v>0.84770000000000001</v>
      </c>
      <c r="G46">
        <v>0.8458</v>
      </c>
      <c r="H46">
        <v>0.71309999999999996</v>
      </c>
    </row>
    <row r="47" spans="1:8" x14ac:dyDescent="0.25">
      <c r="A47">
        <v>2</v>
      </c>
      <c r="B47">
        <v>2</v>
      </c>
      <c r="C47">
        <v>0.49480000000000002</v>
      </c>
      <c r="D47">
        <v>0.69920000000000004</v>
      </c>
      <c r="E47">
        <v>0.78969999999999996</v>
      </c>
      <c r="F47">
        <v>0.69920000000000004</v>
      </c>
      <c r="G47">
        <v>0.67249999999999999</v>
      </c>
      <c r="H47">
        <v>0.39290000000000003</v>
      </c>
    </row>
    <row r="48" spans="1:8" x14ac:dyDescent="0.25">
      <c r="A48">
        <v>2</v>
      </c>
      <c r="B48">
        <v>3</v>
      </c>
      <c r="C48">
        <v>0.1593</v>
      </c>
      <c r="D48" s="2">
        <v>0.93940000000000001</v>
      </c>
      <c r="E48">
        <v>0.94069999999999998</v>
      </c>
      <c r="F48">
        <v>0.93940000000000001</v>
      </c>
      <c r="G48">
        <v>0.93940000000000001</v>
      </c>
      <c r="H48" s="3">
        <v>0.87890000000000001</v>
      </c>
    </row>
    <row r="49" spans="1:8" x14ac:dyDescent="0.25">
      <c r="A49">
        <v>2</v>
      </c>
      <c r="B49">
        <v>4</v>
      </c>
      <c r="C49">
        <v>0.94879999999999998</v>
      </c>
      <c r="D49">
        <v>0.62019999999999997</v>
      </c>
      <c r="E49">
        <v>0.78090000000000004</v>
      </c>
      <c r="F49">
        <v>0.62019999999999997</v>
      </c>
      <c r="G49">
        <v>0.54790000000000005</v>
      </c>
      <c r="H49">
        <v>0.2127</v>
      </c>
    </row>
    <row r="50" spans="1:8" x14ac:dyDescent="0.25">
      <c r="A50">
        <v>2</v>
      </c>
      <c r="B50">
        <v>5</v>
      </c>
      <c r="C50">
        <v>1.5253000000000001</v>
      </c>
      <c r="D50">
        <v>0.63739999999999997</v>
      </c>
      <c r="E50">
        <v>0.78759999999999997</v>
      </c>
      <c r="F50">
        <v>0.63739999999999997</v>
      </c>
      <c r="G50">
        <v>0.58179999999999998</v>
      </c>
      <c r="H50">
        <v>0.27110000000000001</v>
      </c>
    </row>
    <row r="51" spans="1:8" x14ac:dyDescent="0.25">
      <c r="A51">
        <v>3</v>
      </c>
      <c r="B51">
        <v>1</v>
      </c>
      <c r="C51">
        <v>0.25619999999999998</v>
      </c>
      <c r="D51">
        <v>0.89729999999999999</v>
      </c>
      <c r="E51">
        <v>0.91069999999999995</v>
      </c>
      <c r="F51">
        <v>0.89729999999999999</v>
      </c>
      <c r="G51">
        <v>0.89710000000000001</v>
      </c>
      <c r="H51">
        <v>0.80510000000000004</v>
      </c>
    </row>
    <row r="52" spans="1:8" x14ac:dyDescent="0.25">
      <c r="A52">
        <v>3</v>
      </c>
      <c r="B52">
        <v>2</v>
      </c>
      <c r="C52">
        <v>0.19420000000000001</v>
      </c>
      <c r="D52">
        <v>0.93110000000000004</v>
      </c>
      <c r="E52">
        <v>0.93279999999999996</v>
      </c>
      <c r="F52">
        <v>0.93110000000000004</v>
      </c>
      <c r="G52">
        <v>0.93110000000000004</v>
      </c>
      <c r="H52">
        <v>0.8629</v>
      </c>
    </row>
    <row r="53" spans="1:8" x14ac:dyDescent="0.25">
      <c r="A53">
        <v>3</v>
      </c>
      <c r="B53">
        <v>3</v>
      </c>
      <c r="C53">
        <v>0.22389999999999999</v>
      </c>
      <c r="D53">
        <v>0.90149999999999997</v>
      </c>
      <c r="E53">
        <v>0.91420000000000001</v>
      </c>
      <c r="F53">
        <v>0.90149999999999997</v>
      </c>
      <c r="G53">
        <v>0.90080000000000005</v>
      </c>
      <c r="H53">
        <v>0.80330000000000001</v>
      </c>
    </row>
    <row r="54" spans="1:8" x14ac:dyDescent="0.25">
      <c r="A54">
        <v>3</v>
      </c>
      <c r="B54">
        <v>4</v>
      </c>
      <c r="C54">
        <v>0.53969999999999996</v>
      </c>
      <c r="D54">
        <v>0.7228</v>
      </c>
      <c r="E54">
        <v>0.81489999999999996</v>
      </c>
      <c r="F54">
        <v>0.7228</v>
      </c>
      <c r="G54">
        <v>0.69699999999999995</v>
      </c>
      <c r="H54">
        <v>0.42559999999999998</v>
      </c>
    </row>
    <row r="55" spans="1:8" x14ac:dyDescent="0.25">
      <c r="A55">
        <v>3</v>
      </c>
      <c r="B55">
        <v>5</v>
      </c>
      <c r="C55">
        <v>0.19570000000000001</v>
      </c>
      <c r="D55">
        <v>0.92900000000000005</v>
      </c>
      <c r="E55">
        <v>0.93389999999999995</v>
      </c>
      <c r="F55">
        <v>0.92900000000000005</v>
      </c>
      <c r="G55">
        <v>0.92879999999999996</v>
      </c>
      <c r="H55">
        <v>0.85760000000000003</v>
      </c>
    </row>
    <row r="56" spans="1:8" x14ac:dyDescent="0.25">
      <c r="A56">
        <v>4</v>
      </c>
      <c r="B56">
        <v>1</v>
      </c>
      <c r="C56">
        <v>0.7712</v>
      </c>
      <c r="D56">
        <v>0.80389999999999995</v>
      </c>
      <c r="E56">
        <v>0.86109999999999998</v>
      </c>
      <c r="F56">
        <v>0.80389999999999995</v>
      </c>
      <c r="G56">
        <v>0.79879999999999995</v>
      </c>
      <c r="H56">
        <v>0.63149999999999995</v>
      </c>
    </row>
    <row r="57" spans="1:8" x14ac:dyDescent="0.25">
      <c r="A57">
        <v>4</v>
      </c>
      <c r="B57">
        <v>2</v>
      </c>
      <c r="C57">
        <v>0.15029999999999999</v>
      </c>
      <c r="D57">
        <v>0.88670000000000004</v>
      </c>
      <c r="E57">
        <v>0.89</v>
      </c>
      <c r="F57">
        <v>0.88670000000000004</v>
      </c>
      <c r="G57">
        <v>0.88639999999999997</v>
      </c>
      <c r="H57">
        <v>0.77249999999999996</v>
      </c>
    </row>
    <row r="58" spans="1:8" x14ac:dyDescent="0.25">
      <c r="A58">
        <v>4</v>
      </c>
      <c r="B58">
        <v>3</v>
      </c>
      <c r="C58">
        <v>0.29349999999999998</v>
      </c>
      <c r="D58">
        <v>0.89449999999999996</v>
      </c>
      <c r="E58">
        <v>0.90200000000000002</v>
      </c>
      <c r="F58">
        <v>0.89449999999999996</v>
      </c>
      <c r="G58">
        <v>0.89400000000000002</v>
      </c>
      <c r="H58">
        <v>0.78920000000000001</v>
      </c>
    </row>
    <row r="59" spans="1:8" x14ac:dyDescent="0.25">
      <c r="A59">
        <v>4</v>
      </c>
      <c r="B59">
        <v>4</v>
      </c>
      <c r="C59">
        <v>0.1492</v>
      </c>
      <c r="D59">
        <v>0.93720000000000003</v>
      </c>
      <c r="E59">
        <v>0.93779999999999997</v>
      </c>
      <c r="F59">
        <v>0.93720000000000003</v>
      </c>
      <c r="G59">
        <v>0.93720000000000003</v>
      </c>
      <c r="H59">
        <v>0.87549999999999994</v>
      </c>
    </row>
    <row r="60" spans="1:8" x14ac:dyDescent="0.25">
      <c r="A60">
        <v>4</v>
      </c>
      <c r="B60">
        <v>5</v>
      </c>
      <c r="C60">
        <v>2.6040999999999999</v>
      </c>
      <c r="D60">
        <v>0.61229999999999996</v>
      </c>
      <c r="E60">
        <v>0.7802</v>
      </c>
      <c r="F60">
        <v>0.61229999999999996</v>
      </c>
      <c r="G60">
        <v>0.54259999999999997</v>
      </c>
      <c r="H60">
        <v>0.22059999999999999</v>
      </c>
    </row>
    <row r="61" spans="1:8" x14ac:dyDescent="0.25">
      <c r="A61">
        <v>5</v>
      </c>
      <c r="B61">
        <v>1</v>
      </c>
      <c r="C61">
        <v>0.55579999999999996</v>
      </c>
      <c r="D61">
        <v>0.75539999999999996</v>
      </c>
      <c r="E61">
        <v>0.83279999999999998</v>
      </c>
      <c r="F61">
        <v>0.75539999999999996</v>
      </c>
      <c r="G61">
        <v>0.74519999999999997</v>
      </c>
      <c r="H61">
        <v>0.53949999999999998</v>
      </c>
    </row>
    <row r="62" spans="1:8" x14ac:dyDescent="0.25">
      <c r="A62">
        <v>5</v>
      </c>
      <c r="B62">
        <v>2</v>
      </c>
      <c r="C62">
        <v>0.34429999999999999</v>
      </c>
      <c r="D62">
        <v>0.82969999999999999</v>
      </c>
      <c r="E62">
        <v>0.84199999999999997</v>
      </c>
      <c r="F62">
        <v>0.82969999999999999</v>
      </c>
      <c r="G62">
        <v>0.82789999999999997</v>
      </c>
      <c r="H62">
        <v>0.65739999999999998</v>
      </c>
    </row>
    <row r="63" spans="1:8" x14ac:dyDescent="0.25">
      <c r="A63">
        <v>5</v>
      </c>
      <c r="B63">
        <v>3</v>
      </c>
      <c r="C63">
        <v>0.19350000000000001</v>
      </c>
      <c r="D63">
        <v>0.92969999999999997</v>
      </c>
      <c r="E63">
        <v>0.93359999999999999</v>
      </c>
      <c r="F63">
        <v>0.92969999999999997</v>
      </c>
      <c r="G63">
        <v>0.92949999999999999</v>
      </c>
      <c r="H63">
        <v>0.85950000000000004</v>
      </c>
    </row>
    <row r="64" spans="1:8" x14ac:dyDescent="0.25">
      <c r="A64">
        <v>5</v>
      </c>
      <c r="B64">
        <v>4</v>
      </c>
      <c r="C64">
        <v>0.35720000000000002</v>
      </c>
      <c r="D64">
        <v>0.79500000000000004</v>
      </c>
      <c r="E64">
        <v>0.84530000000000005</v>
      </c>
      <c r="F64">
        <v>0.79500000000000004</v>
      </c>
      <c r="G64">
        <v>0.78549999999999998</v>
      </c>
      <c r="H64">
        <v>0.57589999999999997</v>
      </c>
    </row>
    <row r="65" spans="1:11" x14ac:dyDescent="0.25">
      <c r="A65">
        <v>5</v>
      </c>
      <c r="B65">
        <v>5</v>
      </c>
      <c r="C65">
        <v>0.97589999999999999</v>
      </c>
      <c r="D65">
        <v>0.72970000000000002</v>
      </c>
      <c r="E65">
        <v>0.82110000000000005</v>
      </c>
      <c r="F65">
        <v>0.72970000000000002</v>
      </c>
      <c r="G65">
        <v>0.70850000000000002</v>
      </c>
      <c r="H65">
        <v>0.45679999999999998</v>
      </c>
    </row>
    <row r="68" spans="1:11" x14ac:dyDescent="0.25">
      <c r="A68">
        <v>1</v>
      </c>
      <c r="B68">
        <v>1</v>
      </c>
      <c r="C68">
        <f>AVERAGE(C41,C29,C2)</f>
        <v>0.621</v>
      </c>
      <c r="D68">
        <f>AVERAGE(D41,D29,D2)</f>
        <v>0.81220000000000014</v>
      </c>
      <c r="E68">
        <f t="shared" ref="E68:F68" si="0">AVERAGE(E41,E29,E2)</f>
        <v>0.86629999999999996</v>
      </c>
      <c r="F68">
        <f t="shared" si="0"/>
        <v>0.81220000000000014</v>
      </c>
      <c r="G68">
        <f>ROUND(AVERAGE(G41,G29,G2), 4)</f>
        <v>0.80120000000000002</v>
      </c>
      <c r="H68">
        <f>ROUND(AVERAGE(H41,H29,H2), 4)</f>
        <v>0.64180000000000004</v>
      </c>
      <c r="K68" s="5" t="s">
        <v>8</v>
      </c>
    </row>
    <row r="69" spans="1:11" x14ac:dyDescent="0.25">
      <c r="A69">
        <v>1</v>
      </c>
      <c r="B69">
        <v>2</v>
      </c>
      <c r="C69">
        <f>AVERAGE(C42,C30,C3)</f>
        <v>0.64259999999999995</v>
      </c>
      <c r="D69">
        <f>ROUND(AVERAGE(D42,D30,D3), 4)</f>
        <v>0.80510000000000004</v>
      </c>
      <c r="E69">
        <f>ROUND(AVERAGE(E42,E30,E3), 4)</f>
        <v>0.86960000000000004</v>
      </c>
      <c r="F69">
        <f>ROUND(AVERAGE(F42,F30,F3), 4)</f>
        <v>0.80510000000000004</v>
      </c>
      <c r="G69">
        <f t="shared" ref="G69" si="1">AVERAGE(G42,G30,G3)</f>
        <v>0.7783000000000001</v>
      </c>
      <c r="H69">
        <f>ROUND(AVERAGE(H42,H30,H3), 4)</f>
        <v>0.60809999999999997</v>
      </c>
      <c r="K69" t="s">
        <v>9</v>
      </c>
    </row>
    <row r="70" spans="1:11" x14ac:dyDescent="0.25">
      <c r="A70">
        <v>1</v>
      </c>
      <c r="B70">
        <v>3</v>
      </c>
      <c r="C70">
        <f>ROUND(AVERAGE(C43,C31,C4), 4)</f>
        <v>0.52869999999999995</v>
      </c>
      <c r="D70">
        <f>ROUND(AVERAGE(D43,D31,D4), 4)</f>
        <v>0.85289999999999999</v>
      </c>
      <c r="E70">
        <f t="shared" ref="E70" si="2">AVERAGE(E43,E31,E4)</f>
        <v>0.88540000000000008</v>
      </c>
      <c r="F70">
        <f>ROUND(AVERAGE(F43,F31,F4), 4)</f>
        <v>0.85289999999999999</v>
      </c>
      <c r="G70">
        <f>ROUND(AVERAGE(G43,G31,G4), 4)</f>
        <v>0.84930000000000005</v>
      </c>
      <c r="H70">
        <f>ROUND(AVERAGE(H43,H31,H4), 4)</f>
        <v>0.75290000000000001</v>
      </c>
      <c r="K70" t="s">
        <v>10</v>
      </c>
    </row>
    <row r="71" spans="1:11" x14ac:dyDescent="0.25">
      <c r="A71">
        <v>1</v>
      </c>
      <c r="B71" s="1">
        <v>4</v>
      </c>
      <c r="C71">
        <f>ROUND(AVERAGE(C44,C32,C5), 4)</f>
        <v>2.4058000000000002</v>
      </c>
      <c r="D71">
        <f t="shared" ref="C71:H77" si="3">AVERAGE(D44,D32,D5)</f>
        <v>0.64529999999999987</v>
      </c>
      <c r="E71">
        <f>ROUND(AVERAGE(E44,E32,E5), 4)</f>
        <v>0.63080000000000003</v>
      </c>
      <c r="F71">
        <f t="shared" si="3"/>
        <v>0.64529999999999987</v>
      </c>
      <c r="G71">
        <f>ROUND(AVERAGE(G44,G32,G5), 4)</f>
        <v>0.56950000000000001</v>
      </c>
      <c r="H71" s="1">
        <f>ROUND(AVERAGE(H44,H32,H5), 4)</f>
        <v>0.26469999999999999</v>
      </c>
      <c r="K71" s="2" t="s">
        <v>11</v>
      </c>
    </row>
    <row r="72" spans="1:11" x14ac:dyDescent="0.25">
      <c r="A72">
        <v>1</v>
      </c>
      <c r="B72">
        <v>5</v>
      </c>
      <c r="C72">
        <f t="shared" si="3"/>
        <v>0.52539999999999998</v>
      </c>
      <c r="D72">
        <f>ROUND(AVERAGE(D45,D33,D6), 4)</f>
        <v>0.83220000000000005</v>
      </c>
      <c r="E72">
        <f>ROUND(AVERAGE(E45,E33,E6), 4)</f>
        <v>0.87050000000000005</v>
      </c>
      <c r="F72">
        <f>ROUND(AVERAGE(F45,F33,F6), 4)</f>
        <v>0.83220000000000005</v>
      </c>
      <c r="G72">
        <f>ROUND(AVERAGE(G45,G33,G6), 4)</f>
        <v>0.82740000000000002</v>
      </c>
      <c r="H72">
        <f t="shared" si="3"/>
        <v>0.66289999999999993</v>
      </c>
      <c r="K72" s="1" t="s">
        <v>12</v>
      </c>
    </row>
    <row r="73" spans="1:11" x14ac:dyDescent="0.25">
      <c r="A73">
        <v>2</v>
      </c>
      <c r="B73">
        <v>1</v>
      </c>
      <c r="C73">
        <f>ROUND(AVERAGE(C46,C34,C7), 4)</f>
        <v>0.43120000000000003</v>
      </c>
      <c r="D73">
        <f>ROUND(AVERAGE(D46,D34,D7), 4)</f>
        <v>0.82940000000000003</v>
      </c>
      <c r="E73">
        <f t="shared" si="3"/>
        <v>0.86760000000000004</v>
      </c>
      <c r="F73">
        <f>ROUND(AVERAGE(F46,F34,F7), 4)</f>
        <v>0.82940000000000003</v>
      </c>
      <c r="G73">
        <f>ROUND(AVERAGE(G46,G34,G7), 4)</f>
        <v>0.8256</v>
      </c>
      <c r="H73">
        <f t="shared" si="3"/>
        <v>0.66909999999999992</v>
      </c>
    </row>
    <row r="74" spans="1:11" x14ac:dyDescent="0.25">
      <c r="A74">
        <v>2</v>
      </c>
      <c r="B74">
        <v>2</v>
      </c>
      <c r="C74">
        <f>ROUND(AVERAGE(C47,C35,C8), 4)</f>
        <v>0.51939999999999997</v>
      </c>
      <c r="D74">
        <f>ROUND(AVERAGE(D47,D35,D8), 4)</f>
        <v>0.74980000000000002</v>
      </c>
      <c r="E74">
        <f>ROUND(AVERAGE(E47,E35,E8), 4)</f>
        <v>0.83730000000000004</v>
      </c>
      <c r="F74">
        <f>ROUND(AVERAGE(F47,F35,F8), 4)</f>
        <v>0.74980000000000002</v>
      </c>
      <c r="G74">
        <f>ROUND(AVERAGE(G47,G35,G8), 4)</f>
        <v>0.71530000000000005</v>
      </c>
      <c r="H74" s="1">
        <f t="shared" si="3"/>
        <v>0.49530000000000002</v>
      </c>
    </row>
    <row r="75" spans="1:11" x14ac:dyDescent="0.25">
      <c r="A75">
        <v>2</v>
      </c>
      <c r="B75" s="2">
        <v>3</v>
      </c>
      <c r="C75">
        <f>ROUND(AVERAGE(C48,C36,C9), 4)</f>
        <v>0.2218</v>
      </c>
      <c r="D75">
        <f>ROUND(AVERAGE(D48,D36,D9), 4)</f>
        <v>0.91269999999999996</v>
      </c>
      <c r="E75">
        <f t="shared" si="3"/>
        <v>0.92210000000000003</v>
      </c>
      <c r="F75">
        <f>ROUND(AVERAGE(F48,F36,F9), 4)</f>
        <v>0.91269999999999996</v>
      </c>
      <c r="G75">
        <f t="shared" si="3"/>
        <v>0.91210000000000002</v>
      </c>
      <c r="H75" s="2">
        <f>ROUND(AVERAGE(H48,H36,H9), 4)</f>
        <v>0.82540000000000002</v>
      </c>
    </row>
    <row r="76" spans="1:11" x14ac:dyDescent="0.25">
      <c r="A76">
        <v>2</v>
      </c>
      <c r="B76" s="1">
        <v>4</v>
      </c>
      <c r="C76">
        <f>ROUND(AVERAGE(C49,C37,C10), 4)</f>
        <v>0.74990000000000001</v>
      </c>
      <c r="D76">
        <f>ROUND(AVERAGE(D49,D37,D10), 4)</f>
        <v>0.71679999999999999</v>
      </c>
      <c r="E76">
        <f t="shared" si="3"/>
        <v>0.83200000000000018</v>
      </c>
      <c r="F76">
        <f>ROUND(AVERAGE(F49,F37,F10), 4)</f>
        <v>0.71679999999999999</v>
      </c>
      <c r="G76">
        <f t="shared" si="3"/>
        <v>0.6603</v>
      </c>
      <c r="H76" s="1">
        <f>ROUND(AVERAGE(H49,H37,H10), 4)</f>
        <v>0.41410000000000002</v>
      </c>
    </row>
    <row r="77" spans="1:11" x14ac:dyDescent="0.25">
      <c r="A77">
        <v>2</v>
      </c>
      <c r="B77">
        <v>5</v>
      </c>
      <c r="C77">
        <f>ROUND(AVERAGE(C50,C38,C11), 4)</f>
        <v>0.61619999999999997</v>
      </c>
      <c r="D77">
        <f t="shared" si="3"/>
        <v>0.84039999999999992</v>
      </c>
      <c r="E77">
        <f>ROUND(AVERAGE(E50,E38,E11), 4)</f>
        <v>0.89290000000000003</v>
      </c>
      <c r="F77">
        <f t="shared" si="3"/>
        <v>0.84039999999999992</v>
      </c>
      <c r="G77">
        <f t="shared" si="3"/>
        <v>0.82180000000000009</v>
      </c>
      <c r="H77">
        <f>ROUND(AVERAGE(H50,H38,H11), 4)</f>
        <v>0.67959999999999998</v>
      </c>
    </row>
    <row r="78" spans="1:11" x14ac:dyDescent="0.25">
      <c r="A78">
        <v>3</v>
      </c>
      <c r="B78">
        <v>1</v>
      </c>
      <c r="C78">
        <f>AVERAGE(C51,C12)</f>
        <v>0.24790000000000001</v>
      </c>
      <c r="D78">
        <f>ROUND(AVERAGE(D51,D39,D12), 4)</f>
        <v>0.89029999999999998</v>
      </c>
      <c r="E78">
        <f>ROUND(AVERAGE(E51,E39,E12), 4)</f>
        <v>0.89700000000000002</v>
      </c>
      <c r="F78">
        <f>ROUND(AVERAGE(F51,F39,F12), 4)</f>
        <v>0.89029999999999998</v>
      </c>
      <c r="G78">
        <f>ROUND(AVERAGE(G51,G39,G12), 4)</f>
        <v>0.89019999999999999</v>
      </c>
      <c r="H78">
        <f>ROUND(AVERAGE(H51,H39,H12), 4)</f>
        <v>0.78500000000000003</v>
      </c>
    </row>
    <row r="79" spans="1:11" x14ac:dyDescent="0.25">
      <c r="A79">
        <v>3</v>
      </c>
      <c r="B79">
        <v>2</v>
      </c>
      <c r="C79">
        <f>ROUND(AVERAGE(C52,C13), 4)</f>
        <v>0.20830000000000001</v>
      </c>
      <c r="D79">
        <f>ROUND(AVERAGE(D52,D40,D13), 4)</f>
        <v>0.91269999999999996</v>
      </c>
      <c r="E79">
        <f t="shared" ref="E79:H79" si="4">AVERAGE(E52,E13)</f>
        <v>0.91680000000000006</v>
      </c>
      <c r="F79">
        <f>ROUND(AVERAGE(F52,F40,F13), 4)</f>
        <v>0.91269999999999996</v>
      </c>
      <c r="G79">
        <f t="shared" si="4"/>
        <v>0.9124000000000001</v>
      </c>
      <c r="H79">
        <f t="shared" si="4"/>
        <v>0.82499999999999996</v>
      </c>
    </row>
    <row r="80" spans="1:11" x14ac:dyDescent="0.25">
      <c r="A80">
        <v>3</v>
      </c>
      <c r="B80" s="2">
        <v>3</v>
      </c>
      <c r="C80">
        <f>ROUND(AVERAGE(C53,C14), 4)</f>
        <v>0.18029999999999999</v>
      </c>
      <c r="D80">
        <f t="shared" ref="D80:H80" si="5">AVERAGE(D53,D14)</f>
        <v>0.92409999999999992</v>
      </c>
      <c r="E80">
        <f>ROUND(AVERAGE(E53,E14), 4)</f>
        <v>0.93110000000000004</v>
      </c>
      <c r="F80">
        <f t="shared" si="5"/>
        <v>0.92409999999999992</v>
      </c>
      <c r="G80">
        <f>ROUND(AVERAGE(G53,G14), 4)</f>
        <v>0.92379999999999995</v>
      </c>
      <c r="H80" s="2">
        <f t="shared" si="5"/>
        <v>0.84840000000000004</v>
      </c>
    </row>
    <row r="81" spans="1:8" x14ac:dyDescent="0.25">
      <c r="A81">
        <v>3</v>
      </c>
      <c r="B81" s="1">
        <v>4</v>
      </c>
      <c r="C81">
        <f>ROUND(AVERAGE(C54,C15), 4)</f>
        <v>0.70699999999999996</v>
      </c>
      <c r="D81">
        <f>ROUND(AVERAGE(D54,D15), 4)</f>
        <v>0.68400000000000005</v>
      </c>
      <c r="E81">
        <f t="shared" ref="E81" si="6">AVERAGE(E54,E15)</f>
        <v>0.80049999999999999</v>
      </c>
      <c r="F81">
        <f>ROUND(AVERAGE(F54,F15), 4)</f>
        <v>0.68400000000000005</v>
      </c>
      <c r="G81">
        <f>ROUND(AVERAGE(G54,G15), 4)</f>
        <v>0.64249999999999996</v>
      </c>
      <c r="H81" s="1">
        <f>ROUND(AVERAGE(H54,H15), 4)</f>
        <v>0.34510000000000002</v>
      </c>
    </row>
    <row r="82" spans="1:8" x14ac:dyDescent="0.25">
      <c r="A82">
        <v>3</v>
      </c>
      <c r="B82" s="4">
        <v>5</v>
      </c>
      <c r="C82">
        <f t="shared" ref="C82:H82" si="7">AVERAGE(C55,C16)</f>
        <v>0.2046</v>
      </c>
      <c r="D82">
        <f t="shared" si="7"/>
        <v>0.92270000000000008</v>
      </c>
      <c r="E82">
        <f t="shared" si="7"/>
        <v>0.92959999999999998</v>
      </c>
      <c r="F82">
        <f t="shared" si="7"/>
        <v>0.92270000000000008</v>
      </c>
      <c r="G82">
        <f>ROUND(AVERAGE(G55,G16), 4)</f>
        <v>0.9224</v>
      </c>
      <c r="H82" s="2">
        <f t="shared" si="7"/>
        <v>0.8448</v>
      </c>
    </row>
    <row r="83" spans="1:8" x14ac:dyDescent="0.25">
      <c r="A83">
        <v>4</v>
      </c>
      <c r="B83">
        <v>1</v>
      </c>
      <c r="C83">
        <f>ROUND(AVERAGE(C56,C17), 4)</f>
        <v>0.745</v>
      </c>
      <c r="D83">
        <f t="shared" ref="D83:F83" si="8">AVERAGE(D56,D17)</f>
        <v>0.76549999999999996</v>
      </c>
      <c r="E83">
        <f t="shared" si="8"/>
        <v>0.84430000000000005</v>
      </c>
      <c r="F83">
        <f t="shared" si="8"/>
        <v>0.76549999999999996</v>
      </c>
      <c r="G83">
        <f>ROUND(AVERAGE(G56,G17), 4)</f>
        <v>0.75490000000000002</v>
      </c>
      <c r="H83">
        <f>ROUND(AVERAGE(H56,H17), 4)</f>
        <v>0.5595</v>
      </c>
    </row>
    <row r="84" spans="1:8" x14ac:dyDescent="0.25">
      <c r="A84">
        <v>4</v>
      </c>
      <c r="B84">
        <v>2</v>
      </c>
      <c r="C84">
        <f t="shared" ref="C84:F84" si="9">AVERAGE(C57,C18)</f>
        <v>0.23139999999999999</v>
      </c>
      <c r="D84">
        <f t="shared" si="9"/>
        <v>0.8721000000000001</v>
      </c>
      <c r="E84">
        <f t="shared" si="9"/>
        <v>0.88559999999999994</v>
      </c>
      <c r="F84">
        <f t="shared" si="9"/>
        <v>0.8721000000000001</v>
      </c>
      <c r="G84">
        <f>ROUND(AVERAGE(G57,G18), 4)</f>
        <v>0.87080000000000002</v>
      </c>
      <c r="H84">
        <f>ROUND(AVERAGE(H57,H18), 4)</f>
        <v>0.74260000000000004</v>
      </c>
    </row>
    <row r="85" spans="1:8" x14ac:dyDescent="0.25">
      <c r="A85">
        <v>4</v>
      </c>
      <c r="B85" s="2">
        <v>3</v>
      </c>
      <c r="C85">
        <f>ROUND(AVERAGE(C58,C19), 4)</f>
        <v>0.23960000000000001</v>
      </c>
      <c r="D85">
        <f>ROUND(AVERAGE(D58,D19), 4)</f>
        <v>0.90749999999999997</v>
      </c>
      <c r="E85">
        <f t="shared" ref="E85:H85" si="10">AVERAGE(E58,E19)</f>
        <v>0.9113</v>
      </c>
      <c r="F85">
        <f>ROUND(AVERAGE(F58,F19), 4)</f>
        <v>0.90749999999999997</v>
      </c>
      <c r="G85">
        <f t="shared" si="10"/>
        <v>0.90720000000000001</v>
      </c>
      <c r="H85" s="2">
        <f t="shared" si="10"/>
        <v>0.81499999999999995</v>
      </c>
    </row>
    <row r="86" spans="1:8" x14ac:dyDescent="0.25">
      <c r="A86">
        <v>4</v>
      </c>
      <c r="B86">
        <v>4</v>
      </c>
      <c r="C86">
        <f t="shared" ref="C86:F86" si="11">AVERAGE(C59,C20)</f>
        <v>0.42380000000000001</v>
      </c>
      <c r="D86">
        <f t="shared" si="11"/>
        <v>0.82950000000000002</v>
      </c>
      <c r="E86">
        <f t="shared" si="11"/>
        <v>0.878</v>
      </c>
      <c r="F86">
        <f t="shared" si="11"/>
        <v>0.82950000000000002</v>
      </c>
      <c r="G86">
        <f>ROUND(AVERAGE(G59,G20), 4)</f>
        <v>0.81620000000000004</v>
      </c>
      <c r="H86">
        <f>ROUND(AVERAGE(H59,H20), 4)</f>
        <v>0.64949999999999997</v>
      </c>
    </row>
    <row r="87" spans="1:8" x14ac:dyDescent="0.25">
      <c r="A87">
        <v>4</v>
      </c>
      <c r="B87" s="4">
        <v>5</v>
      </c>
      <c r="C87">
        <f>ROUND(AVERAGE(C60,C21), 4)</f>
        <v>1.7665</v>
      </c>
      <c r="D87">
        <f t="shared" ref="D87:H87" si="12">AVERAGE(D60,D21)</f>
        <v>0.67530000000000001</v>
      </c>
      <c r="E87">
        <f t="shared" si="12"/>
        <v>0.80309999999999993</v>
      </c>
      <c r="F87">
        <f t="shared" si="12"/>
        <v>0.67530000000000001</v>
      </c>
      <c r="G87">
        <f>ROUND(AVERAGE(G60,G21), 4)</f>
        <v>0.63080000000000003</v>
      </c>
      <c r="H87" s="1">
        <f t="shared" si="12"/>
        <v>0.3473</v>
      </c>
    </row>
    <row r="88" spans="1:8" x14ac:dyDescent="0.25">
      <c r="A88">
        <v>5</v>
      </c>
      <c r="B88">
        <v>1</v>
      </c>
      <c r="C88">
        <f t="shared" ref="C88:G88" si="13">AVERAGE(C61,C22)</f>
        <v>0.4214</v>
      </c>
      <c r="D88">
        <f t="shared" ref="D88:F90" si="14">ROUND(AVERAGE(D61,D22), 4)</f>
        <v>0.82179999999999997</v>
      </c>
      <c r="E88">
        <f t="shared" si="14"/>
        <v>0.87090000000000001</v>
      </c>
      <c r="F88">
        <f t="shared" si="14"/>
        <v>0.82179999999999997</v>
      </c>
      <c r="G88">
        <f t="shared" si="13"/>
        <v>0.81640000000000001</v>
      </c>
      <c r="H88">
        <f>ROUND(AVERAGE(H61,H22), 4)</f>
        <v>0.66459999999999997</v>
      </c>
    </row>
    <row r="89" spans="1:8" x14ac:dyDescent="0.25">
      <c r="A89">
        <v>5</v>
      </c>
      <c r="B89">
        <v>2</v>
      </c>
      <c r="C89">
        <f t="shared" ref="C89:G89" si="15">AVERAGE(C62,C23)</f>
        <v>0.29820000000000002</v>
      </c>
      <c r="D89">
        <f t="shared" si="14"/>
        <v>0.85719999999999996</v>
      </c>
      <c r="E89">
        <f t="shared" si="14"/>
        <v>0.87250000000000005</v>
      </c>
      <c r="F89">
        <f t="shared" si="14"/>
        <v>0.85719999999999996</v>
      </c>
      <c r="G89">
        <f t="shared" si="15"/>
        <v>0.85549999999999993</v>
      </c>
      <c r="H89">
        <f>ROUND(AVERAGE(H62,H23), 4)</f>
        <v>0.71230000000000004</v>
      </c>
    </row>
    <row r="90" spans="1:8" x14ac:dyDescent="0.25">
      <c r="A90">
        <v>5</v>
      </c>
      <c r="B90" s="2">
        <v>3</v>
      </c>
      <c r="C90">
        <f t="shared" ref="C90:H90" si="16">AVERAGE(C63,C24)</f>
        <v>0.17710000000000001</v>
      </c>
      <c r="D90">
        <f t="shared" si="14"/>
        <v>0.93610000000000004</v>
      </c>
      <c r="E90">
        <f t="shared" si="14"/>
        <v>0.94</v>
      </c>
      <c r="F90">
        <f t="shared" si="14"/>
        <v>0.93610000000000004</v>
      </c>
      <c r="G90">
        <f t="shared" si="16"/>
        <v>0.93589999999999995</v>
      </c>
      <c r="H90" s="3">
        <f t="shared" si="16"/>
        <v>0.87220000000000009</v>
      </c>
    </row>
    <row r="91" spans="1:8" x14ac:dyDescent="0.25">
      <c r="A91">
        <v>5</v>
      </c>
      <c r="B91" s="1">
        <v>4</v>
      </c>
      <c r="C91">
        <f>ROUND(AVERAGE(C64,C25), 4)</f>
        <v>1.0565</v>
      </c>
      <c r="D91">
        <f t="shared" ref="D91:G91" si="17">AVERAGE(D64,D25)</f>
        <v>0.65629999999999999</v>
      </c>
      <c r="E91">
        <f t="shared" si="17"/>
        <v>0.55659999999999998</v>
      </c>
      <c r="F91">
        <f t="shared" si="17"/>
        <v>0.65629999999999999</v>
      </c>
      <c r="G91">
        <f t="shared" si="17"/>
        <v>0.56930000000000003</v>
      </c>
      <c r="H91" s="1">
        <f>ROUND(AVERAGE(H64,H25), 4)</f>
        <v>0.28799999999999998</v>
      </c>
    </row>
    <row r="92" spans="1:8" x14ac:dyDescent="0.25">
      <c r="A92">
        <v>5</v>
      </c>
      <c r="B92" s="4">
        <v>5</v>
      </c>
      <c r="C92">
        <f>ROUND(AVERAGE(C65,C26), 4)</f>
        <v>1.0666</v>
      </c>
      <c r="D92">
        <f t="shared" ref="D92:G92" si="18">AVERAGE(D65,D26)</f>
        <v>0.71310000000000007</v>
      </c>
      <c r="E92">
        <f>ROUND(AVERAGE(E65,E26), 4)</f>
        <v>0.81540000000000001</v>
      </c>
      <c r="F92">
        <f t="shared" si="18"/>
        <v>0.71310000000000007</v>
      </c>
      <c r="G92">
        <f t="shared" si="18"/>
        <v>0.68690000000000007</v>
      </c>
      <c r="H92" s="1">
        <f>ROUND(AVERAGE(H65,H26), 4)</f>
        <v>0.4234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Kaylie</dc:creator>
  <cp:lastModifiedBy>Kaylie Aguila</cp:lastModifiedBy>
  <dcterms:created xsi:type="dcterms:W3CDTF">2015-06-05T18:17:20Z</dcterms:created>
  <dcterms:modified xsi:type="dcterms:W3CDTF">2025-12-15T07:35:23Z</dcterms:modified>
</cp:coreProperties>
</file>